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isc pro\New version\"/>
    </mc:Choice>
  </mc:AlternateContent>
  <xr:revisionPtr revIDLastSave="0" documentId="13_ncr:1_{334E4BF0-76D3-43E1-9BCC-44B241499187}" xr6:coauthVersionLast="47" xr6:coauthVersionMax="47" xr10:uidLastSave="{00000000-0000-0000-0000-000000000000}"/>
  <bookViews>
    <workbookView xWindow="-110" yWindow="-110" windowWidth="19420" windowHeight="10300" xr2:uid="{13A71D00-35E1-422D-8FC7-3974157630E5}"/>
  </bookViews>
  <sheets>
    <sheet name="Material Cost" sheetId="4" r:id="rId1"/>
    <sheet name="Stair data" sheetId="2" r:id="rId2"/>
    <sheet name="Summary" sheetId="3" r:id="rId3"/>
    <sheet name="Gage pl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3" l="1"/>
  <c r="H12" i="3" s="1"/>
  <c r="H14" i="3" s="1"/>
  <c r="O12" i="3"/>
  <c r="O14" i="3" s="1"/>
  <c r="L12" i="3"/>
  <c r="L14" i="3" s="1"/>
  <c r="H5" i="3"/>
  <c r="O4" i="3"/>
  <c r="O6" i="3" s="1"/>
  <c r="L4" i="3"/>
  <c r="L6" i="3" s="1"/>
  <c r="F4" i="3"/>
  <c r="H4" i="3" s="1"/>
  <c r="D15" i="3" l="1"/>
  <c r="H6" i="3"/>
  <c r="D7" i="3" s="1"/>
</calcChain>
</file>

<file path=xl/sharedStrings.xml><?xml version="1.0" encoding="utf-8"?>
<sst xmlns="http://schemas.openxmlformats.org/spreadsheetml/2006/main" count="363" uniqueCount="125">
  <si>
    <t>Gauge</t>
  </si>
  <si>
    <t>Thickness (in)</t>
  </si>
  <si>
    <t>Carbon Steel</t>
  </si>
  <si>
    <t>Stainless Steel</t>
  </si>
  <si>
    <t>Galvanized Steel*</t>
  </si>
  <si>
    <t>7 ga</t>
  </si>
  <si>
    <t>7.40 – 7.55</t>
  </si>
  <si>
    <t>10 ga</t>
  </si>
  <si>
    <t>5.55 – 5.65</t>
  </si>
  <si>
    <t>11 ga</t>
  </si>
  <si>
    <t>4.95 – 5.05</t>
  </si>
  <si>
    <t>12 ga</t>
  </si>
  <si>
    <t>4.32 – 4.40</t>
  </si>
  <si>
    <t>14 ga</t>
  </si>
  <si>
    <t>3.10 – 3.15</t>
  </si>
  <si>
    <t>16 ga</t>
  </si>
  <si>
    <t>2.47 – 2.52</t>
  </si>
  <si>
    <t>18 ga</t>
  </si>
  <si>
    <t>1.98 – 2.02</t>
  </si>
  <si>
    <t>20 ga</t>
  </si>
  <si>
    <t>1.48 – 1.52</t>
  </si>
  <si>
    <t>22 ga</t>
  </si>
  <si>
    <t>1.24 – 1.28</t>
  </si>
  <si>
    <t>24 ga</t>
  </si>
  <si>
    <t>0.99 – 1.02</t>
  </si>
  <si>
    <t>min length</t>
  </si>
  <si>
    <t>max length</t>
  </si>
  <si>
    <t>weight</t>
  </si>
  <si>
    <t>shop hrs</t>
  </si>
  <si>
    <t>field hrs</t>
  </si>
  <si>
    <t>max stair width</t>
  </si>
  <si>
    <t>Stringer size</t>
  </si>
  <si>
    <t>Stringer details</t>
  </si>
  <si>
    <t>Pan plate details</t>
  </si>
  <si>
    <t>Pan Type</t>
  </si>
  <si>
    <t>Shop hrs</t>
  </si>
  <si>
    <t>Field hrs</t>
  </si>
  <si>
    <t>Supp Type</t>
  </si>
  <si>
    <t>Weight</t>
  </si>
  <si>
    <t>Min length</t>
  </si>
  <si>
    <t>Max length</t>
  </si>
  <si>
    <t>Min. Stair width</t>
  </si>
  <si>
    <t>Pan support type</t>
  </si>
  <si>
    <t>Pl thk</t>
  </si>
  <si>
    <t>C12X20.7</t>
  </si>
  <si>
    <t>4-0</t>
  </si>
  <si>
    <t>0</t>
  </si>
  <si>
    <t>14-0</t>
  </si>
  <si>
    <t>TBD</t>
  </si>
  <si>
    <t>TYPE-1</t>
  </si>
  <si>
    <t>TYPE-2</t>
  </si>
  <si>
    <t>TYPE-3</t>
  </si>
  <si>
    <t>Intermediate Stringer details</t>
  </si>
  <si>
    <t>Field welded</t>
  </si>
  <si>
    <t>6</t>
  </si>
  <si>
    <t>3.65</t>
  </si>
  <si>
    <t>Weight(lbs)</t>
  </si>
  <si>
    <t>L3x3x3/8x0-6 long w/1/2" dia exp bolts</t>
  </si>
  <si>
    <t>4.75</t>
  </si>
  <si>
    <t>L3x3x3/8x0-6 long w/3/4" dia exp bolts</t>
  </si>
  <si>
    <t>0.3</t>
  </si>
  <si>
    <t>7ga to 24ga</t>
  </si>
  <si>
    <t>Type-1(Single support)</t>
  </si>
  <si>
    <t>Type-2(Dual support)</t>
  </si>
  <si>
    <t>8-0</t>
  </si>
  <si>
    <t>1.2</t>
  </si>
  <si>
    <t>TYPE-2(Z-shape)</t>
  </si>
  <si>
    <t>TYPE-1(Z shape)</t>
  </si>
  <si>
    <t>1.3</t>
  </si>
  <si>
    <t>5</t>
  </si>
  <si>
    <t>1.25</t>
  </si>
  <si>
    <t>Type-3(bent plate)</t>
  </si>
  <si>
    <t>Type-(Welded)</t>
  </si>
  <si>
    <t>TYPE-1(C shape)</t>
  </si>
  <si>
    <t>TYPE-2(C-shape)</t>
  </si>
  <si>
    <t>1.1</t>
  </si>
  <si>
    <t>.2</t>
  </si>
  <si>
    <t>Main stringer Support details @ Bottom</t>
  </si>
  <si>
    <t>Connection</t>
  </si>
  <si>
    <t>Main stringer Support details @ Top</t>
  </si>
  <si>
    <t>Material</t>
  </si>
  <si>
    <t>Grade</t>
  </si>
  <si>
    <t>Lnegth</t>
  </si>
  <si>
    <t>Total Cost</t>
  </si>
  <si>
    <t>FT</t>
  </si>
  <si>
    <t>LBS</t>
  </si>
  <si>
    <t>$</t>
  </si>
  <si>
    <t>Cost/lbs</t>
  </si>
  <si>
    <t>Shop Labor</t>
  </si>
  <si>
    <t>C12x20.7</t>
  </si>
  <si>
    <t>A36</t>
  </si>
  <si>
    <t>Total</t>
  </si>
  <si>
    <t>Hours</t>
  </si>
  <si>
    <t>Cost/hr</t>
  </si>
  <si>
    <t>Total cost</t>
  </si>
  <si>
    <t>Stringer</t>
  </si>
  <si>
    <t>PL1/4x12</t>
  </si>
  <si>
    <t>Weight/ft</t>
  </si>
  <si>
    <t>Material Type</t>
  </si>
  <si>
    <t>Cost($)/lb</t>
  </si>
  <si>
    <t>W-shape</t>
  </si>
  <si>
    <t>C/MC</t>
  </si>
  <si>
    <t>Angles</t>
  </si>
  <si>
    <t>Plates</t>
  </si>
  <si>
    <t>HSS/TS</t>
  </si>
  <si>
    <t>Pipe</t>
  </si>
  <si>
    <t>Round HSS</t>
  </si>
  <si>
    <t>A992</t>
  </si>
  <si>
    <t>A36/A572</t>
  </si>
  <si>
    <t>A500B</t>
  </si>
  <si>
    <t>A500C</t>
  </si>
  <si>
    <t>A53</t>
  </si>
  <si>
    <t>SS304</t>
  </si>
  <si>
    <t>SS316</t>
  </si>
  <si>
    <t>shop efficiency</t>
  </si>
  <si>
    <t>Field efficiency</t>
  </si>
  <si>
    <t>HR</t>
  </si>
  <si>
    <t>%</t>
  </si>
  <si>
    <t>L3x3x3/8x0-6 long w/5/8" dia exp bolts</t>
  </si>
  <si>
    <t>TYPE-4</t>
  </si>
  <si>
    <t>L4x4x1/4x0-6 long w/3/4" dia A325 bolts</t>
  </si>
  <si>
    <t>Pan Plate</t>
  </si>
  <si>
    <t>THK</t>
  </si>
  <si>
    <t>WIDTH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</si>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</sst>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/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9" fontId="1" fillId="0" borderId="0" xfId="0" applyNumberFormat="1" applyFont="1" applyBorder="1" applyAlignment="1"/>
    <xf numFmtId="49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72F0-A46F-458E-B395-563976BCDD86}">
  <dimension ref="A1:C26"/>
  <sheetViews>
    <sheetView tabSelected="1" workbookViewId="0">
      <selection activeCell="F5" sqref="F5"/>
    </sheetView>
  </sheetViews>
  <sheetFormatPr defaultRowHeight="14.5" x14ac:dyDescent="0.35"/>
  <cols>
    <col min="1" max="1" width="11.54296875" bestFit="1" customWidth="1"/>
    <col min="2" max="2" width="11.54296875" customWidth="1"/>
    <col min="3" max="3" width="8.7265625" style="6"/>
  </cols>
  <sheetData>
    <row r="1" spans="1:3" x14ac:dyDescent="0.35">
      <c r="A1" s="7" t="s">
        <v>98</v>
      </c>
      <c r="B1" s="7" t="s">
        <v>81</v>
      </c>
      <c r="C1" s="8" t="s">
        <v>99</v>
      </c>
    </row>
    <row r="2" spans="1:3" x14ac:dyDescent="0.35">
      <c r="A2" s="7" t="s">
        <v>100</v>
      </c>
      <c r="B2" s="7" t="s">
        <v>107</v>
      </c>
      <c r="C2" s="8">
        <v>0.75</v>
      </c>
    </row>
    <row r="3" spans="1:3" x14ac:dyDescent="0.35">
      <c r="A3" s="7" t="s">
        <v>101</v>
      </c>
      <c r="B3" s="7" t="s">
        <v>90</v>
      </c>
      <c r="C3" s="8">
        <v>0.75</v>
      </c>
    </row>
    <row r="4" spans="1:3" x14ac:dyDescent="0.35">
      <c r="A4" s="7" t="s">
        <v>102</v>
      </c>
      <c r="B4" s="7" t="s">
        <v>108</v>
      </c>
      <c r="C4" s="8">
        <v>0.75</v>
      </c>
    </row>
    <row r="5" spans="1:3" x14ac:dyDescent="0.35">
      <c r="A5" s="7" t="s">
        <v>103</v>
      </c>
      <c r="B5" s="7" t="s">
        <v>108</v>
      </c>
      <c r="C5" s="8">
        <v>0.65</v>
      </c>
    </row>
    <row r="6" spans="1:3" x14ac:dyDescent="0.35">
      <c r="A6" s="7" t="s">
        <v>104</v>
      </c>
      <c r="B6" s="7" t="s">
        <v>109</v>
      </c>
      <c r="C6" s="8">
        <v>0.9</v>
      </c>
    </row>
    <row r="7" spans="1:3" x14ac:dyDescent="0.35">
      <c r="A7" s="7" t="s">
        <v>104</v>
      </c>
      <c r="B7" s="7" t="s">
        <v>110</v>
      </c>
      <c r="C7" s="8">
        <v>0.9</v>
      </c>
    </row>
    <row r="8" spans="1:3" x14ac:dyDescent="0.35">
      <c r="A8" s="7" t="s">
        <v>105</v>
      </c>
      <c r="B8" s="7" t="s">
        <v>111</v>
      </c>
      <c r="C8" s="8">
        <v>0.85</v>
      </c>
    </row>
    <row r="9" spans="1:3" x14ac:dyDescent="0.35">
      <c r="A9" s="7" t="s">
        <v>106</v>
      </c>
      <c r="B9" s="7" t="s">
        <v>109</v>
      </c>
      <c r="C9" s="8">
        <v>0.85</v>
      </c>
    </row>
    <row r="10" spans="1:3" x14ac:dyDescent="0.35">
      <c r="A10" s="7" t="s">
        <v>106</v>
      </c>
      <c r="B10" s="7" t="s">
        <v>110</v>
      </c>
      <c r="C10" s="8">
        <v>0.85</v>
      </c>
    </row>
    <row r="11" spans="1:3" x14ac:dyDescent="0.35">
      <c r="A11" s="7" t="s">
        <v>100</v>
      </c>
      <c r="B11" s="7" t="s">
        <v>112</v>
      </c>
      <c r="C11" s="8">
        <v>2.5</v>
      </c>
    </row>
    <row r="12" spans="1:3" x14ac:dyDescent="0.35">
      <c r="A12" s="7" t="s">
        <v>101</v>
      </c>
      <c r="B12" s="7" t="s">
        <v>112</v>
      </c>
      <c r="C12" s="8">
        <v>2.5</v>
      </c>
    </row>
    <row r="13" spans="1:3" x14ac:dyDescent="0.35">
      <c r="A13" s="7" t="s">
        <v>102</v>
      </c>
      <c r="B13" s="7" t="s">
        <v>112</v>
      </c>
      <c r="C13" s="8">
        <v>2.5</v>
      </c>
    </row>
    <row r="14" spans="1:3" x14ac:dyDescent="0.35">
      <c r="A14" s="7" t="s">
        <v>103</v>
      </c>
      <c r="B14" s="7" t="s">
        <v>112</v>
      </c>
      <c r="C14" s="8">
        <v>2.5</v>
      </c>
    </row>
    <row r="15" spans="1:3" x14ac:dyDescent="0.35">
      <c r="A15" s="7" t="s">
        <v>104</v>
      </c>
      <c r="B15" s="7" t="s">
        <v>112</v>
      </c>
      <c r="C15" s="8">
        <v>2.5</v>
      </c>
    </row>
    <row r="16" spans="1:3" x14ac:dyDescent="0.35">
      <c r="A16" s="7" t="s">
        <v>104</v>
      </c>
      <c r="B16" s="7" t="s">
        <v>112</v>
      </c>
      <c r="C16" s="8">
        <v>2.5</v>
      </c>
    </row>
    <row r="17" spans="1:3" x14ac:dyDescent="0.35">
      <c r="A17" s="7" t="s">
        <v>105</v>
      </c>
      <c r="B17" s="7" t="s">
        <v>112</v>
      </c>
      <c r="C17" s="8">
        <v>2.5</v>
      </c>
    </row>
    <row r="18" spans="1:3" x14ac:dyDescent="0.35">
      <c r="A18" s="7" t="s">
        <v>106</v>
      </c>
      <c r="B18" s="7" t="s">
        <v>112</v>
      </c>
      <c r="C18" s="8">
        <v>2.5</v>
      </c>
    </row>
    <row r="19" spans="1:3" x14ac:dyDescent="0.35">
      <c r="A19" s="7" t="s">
        <v>100</v>
      </c>
      <c r="B19" s="7" t="s">
        <v>113</v>
      </c>
      <c r="C19" s="8">
        <v>4</v>
      </c>
    </row>
    <row r="20" spans="1:3" x14ac:dyDescent="0.35">
      <c r="A20" s="7" t="s">
        <v>101</v>
      </c>
      <c r="B20" s="7" t="s">
        <v>113</v>
      </c>
      <c r="C20" s="8">
        <v>4</v>
      </c>
    </row>
    <row r="21" spans="1:3" x14ac:dyDescent="0.35">
      <c r="A21" s="7" t="s">
        <v>102</v>
      </c>
      <c r="B21" s="7" t="s">
        <v>113</v>
      </c>
      <c r="C21" s="8">
        <v>4</v>
      </c>
    </row>
    <row r="22" spans="1:3" x14ac:dyDescent="0.35">
      <c r="A22" s="7" t="s">
        <v>103</v>
      </c>
      <c r="B22" s="7" t="s">
        <v>113</v>
      </c>
      <c r="C22" s="8">
        <v>4</v>
      </c>
    </row>
    <row r="23" spans="1:3" x14ac:dyDescent="0.35">
      <c r="A23" s="7" t="s">
        <v>104</v>
      </c>
      <c r="B23" s="7" t="s">
        <v>113</v>
      </c>
      <c r="C23" s="8">
        <v>4</v>
      </c>
    </row>
    <row r="24" spans="1:3" x14ac:dyDescent="0.35">
      <c r="A24" s="7" t="s">
        <v>104</v>
      </c>
      <c r="B24" s="7" t="s">
        <v>113</v>
      </c>
      <c r="C24" s="8">
        <v>4</v>
      </c>
    </row>
    <row r="25" spans="1:3" x14ac:dyDescent="0.35">
      <c r="A25" s="7" t="s">
        <v>105</v>
      </c>
      <c r="B25" s="7" t="s">
        <v>113</v>
      </c>
      <c r="C25" s="8">
        <v>4</v>
      </c>
    </row>
    <row r="26" spans="1:3" x14ac:dyDescent="0.35">
      <c r="A26" s="7" t="s">
        <v>106</v>
      </c>
      <c r="B26" s="7" t="s">
        <v>113</v>
      </c>
      <c r="C26" s="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3835-EF0C-4624-A442-F4F73564C20F}">
  <dimension ref="A1:P40"/>
  <sheetViews>
    <sheetView zoomScaleNormal="100" workbookViewId="0">
      <selection activeCell="K6" sqref="K6"/>
    </sheetView>
  </sheetViews>
  <sheetFormatPr defaultRowHeight="14.5" x14ac:dyDescent="0.35"/>
  <cols>
    <col min="1" max="1" width="11" style="3" bestFit="1" customWidth="1"/>
    <col min="2" max="2" width="31.54296875" style="3" bestFit="1" customWidth="1"/>
    <col min="3" max="3" width="19" style="3" bestFit="1" customWidth="1"/>
    <col min="4" max="5" width="10.08984375" style="3" bestFit="1" customWidth="1"/>
    <col min="6" max="6" width="9.453125" style="3" bestFit="1" customWidth="1"/>
    <col min="7" max="7" width="8.26953125" style="3" bestFit="1" customWidth="1"/>
    <col min="8" max="10" width="13" style="3" bestFit="1" customWidth="1"/>
    <col min="11" max="13" width="10.08984375" style="3" customWidth="1"/>
    <col min="14" max="16384" width="8.7265625" style="3"/>
  </cols>
  <sheetData>
    <row r="1" spans="1:16" x14ac:dyDescent="0.35">
      <c r="A1" s="18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7"/>
      <c r="L1" s="17"/>
      <c r="M1" s="17"/>
      <c r="N1" s="17"/>
      <c r="O1" s="17"/>
      <c r="P1" s="17"/>
    </row>
    <row r="2" spans="1:16" x14ac:dyDescent="0.35">
      <c r="A2" s="15" t="s">
        <v>31</v>
      </c>
      <c r="B2" s="15" t="s">
        <v>41</v>
      </c>
      <c r="C2" s="15" t="s">
        <v>30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29</v>
      </c>
      <c r="I2" s="15" t="s">
        <v>114</v>
      </c>
      <c r="J2" s="15" t="s">
        <v>115</v>
      </c>
    </row>
    <row r="3" spans="1:16" s="4" customFormat="1" x14ac:dyDescent="0.35">
      <c r="A3" s="16"/>
      <c r="B3" s="16"/>
      <c r="C3" s="16" t="s">
        <v>84</v>
      </c>
      <c r="D3" s="16" t="s">
        <v>84</v>
      </c>
      <c r="E3" s="16" t="s">
        <v>84</v>
      </c>
      <c r="F3" s="16" t="s">
        <v>85</v>
      </c>
      <c r="G3" s="16" t="s">
        <v>116</v>
      </c>
      <c r="H3" s="16" t="s">
        <v>116</v>
      </c>
      <c r="I3" s="16" t="s">
        <v>117</v>
      </c>
      <c r="J3" s="16" t="s">
        <v>117</v>
      </c>
    </row>
    <row r="4" spans="1:16" x14ac:dyDescent="0.35">
      <c r="A4" s="15" t="s">
        <v>44</v>
      </c>
      <c r="B4" s="15">
        <v>0</v>
      </c>
      <c r="C4" s="15" t="s">
        <v>45</v>
      </c>
      <c r="D4" s="15" t="s">
        <v>46</v>
      </c>
      <c r="E4" s="15" t="s">
        <v>47</v>
      </c>
      <c r="F4" s="15" t="s">
        <v>48</v>
      </c>
      <c r="G4" s="15" t="s">
        <v>69</v>
      </c>
      <c r="H4" s="15" t="s">
        <v>46</v>
      </c>
      <c r="I4" s="15"/>
      <c r="J4" s="15"/>
    </row>
    <row r="6" spans="1:16" x14ac:dyDescent="0.35">
      <c r="A6" s="18" t="s">
        <v>52</v>
      </c>
      <c r="B6" s="18"/>
      <c r="C6" s="18"/>
      <c r="D6" s="18"/>
      <c r="E6" s="18"/>
      <c r="F6" s="18"/>
      <c r="G6" s="18"/>
      <c r="H6" s="18"/>
      <c r="I6" s="18"/>
      <c r="J6" s="18"/>
    </row>
    <row r="7" spans="1:16" x14ac:dyDescent="0.35">
      <c r="A7" s="15" t="s">
        <v>31</v>
      </c>
      <c r="B7" s="15" t="s">
        <v>41</v>
      </c>
      <c r="C7" s="15" t="s">
        <v>30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29</v>
      </c>
      <c r="I7" s="15" t="s">
        <v>114</v>
      </c>
      <c r="J7" s="15" t="s">
        <v>115</v>
      </c>
    </row>
    <row r="8" spans="1:16" x14ac:dyDescent="0.35">
      <c r="A8" s="15"/>
      <c r="B8" s="15"/>
      <c r="C8" s="15" t="s">
        <v>84</v>
      </c>
      <c r="D8" s="15" t="s">
        <v>84</v>
      </c>
      <c r="E8" s="15" t="s">
        <v>84</v>
      </c>
      <c r="F8" s="15" t="s">
        <v>85</v>
      </c>
      <c r="G8" s="15" t="s">
        <v>116</v>
      </c>
      <c r="H8" s="15" t="s">
        <v>116</v>
      </c>
      <c r="I8" s="16" t="s">
        <v>117</v>
      </c>
      <c r="J8" s="16" t="s">
        <v>117</v>
      </c>
    </row>
    <row r="9" spans="1:16" x14ac:dyDescent="0.35">
      <c r="A9" s="15" t="s">
        <v>44</v>
      </c>
      <c r="B9" s="15">
        <v>0</v>
      </c>
      <c r="C9" s="15" t="s">
        <v>45</v>
      </c>
      <c r="D9" s="15" t="s">
        <v>46</v>
      </c>
      <c r="E9" s="15" t="s">
        <v>47</v>
      </c>
      <c r="F9" s="15" t="s">
        <v>48</v>
      </c>
      <c r="G9" s="15" t="s">
        <v>69</v>
      </c>
      <c r="H9" s="15" t="s">
        <v>46</v>
      </c>
      <c r="I9" s="15"/>
      <c r="J9" s="15"/>
    </row>
    <row r="11" spans="1:16" x14ac:dyDescent="0.35">
      <c r="A11" s="18" t="s">
        <v>33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6" x14ac:dyDescent="0.35">
      <c r="A12" s="15" t="s">
        <v>43</v>
      </c>
      <c r="B12" s="15" t="s">
        <v>34</v>
      </c>
      <c r="C12" s="15" t="s">
        <v>42</v>
      </c>
      <c r="D12" s="15" t="s">
        <v>39</v>
      </c>
      <c r="E12" s="15" t="s">
        <v>40</v>
      </c>
      <c r="F12" s="15" t="s">
        <v>38</v>
      </c>
      <c r="G12" s="15" t="s">
        <v>35</v>
      </c>
      <c r="H12" s="15" t="s">
        <v>36</v>
      </c>
      <c r="I12" s="15" t="s">
        <v>114</v>
      </c>
      <c r="J12" s="15" t="s">
        <v>115</v>
      </c>
    </row>
    <row r="13" spans="1:16" x14ac:dyDescent="0.35">
      <c r="A13" s="15"/>
      <c r="B13" s="15"/>
      <c r="C13" s="15"/>
      <c r="D13" s="15" t="s">
        <v>84</v>
      </c>
      <c r="E13" s="15" t="s">
        <v>84</v>
      </c>
      <c r="F13" s="15" t="s">
        <v>85</v>
      </c>
      <c r="G13" s="15" t="s">
        <v>116</v>
      </c>
      <c r="H13" s="15" t="s">
        <v>116</v>
      </c>
      <c r="I13" s="16" t="s">
        <v>117</v>
      </c>
      <c r="J13" s="16" t="s">
        <v>117</v>
      </c>
    </row>
    <row r="14" spans="1:16" x14ac:dyDescent="0.35">
      <c r="A14" s="15" t="s">
        <v>61</v>
      </c>
      <c r="B14" s="15" t="s">
        <v>67</v>
      </c>
      <c r="C14" s="15" t="s">
        <v>62</v>
      </c>
      <c r="D14" s="15" t="s">
        <v>46</v>
      </c>
      <c r="E14" s="15" t="s">
        <v>64</v>
      </c>
      <c r="F14" s="15" t="s">
        <v>48</v>
      </c>
      <c r="G14" s="15" t="s">
        <v>65</v>
      </c>
      <c r="H14" s="15" t="s">
        <v>46</v>
      </c>
      <c r="I14" s="15"/>
      <c r="J14" s="15"/>
    </row>
    <row r="15" spans="1:16" x14ac:dyDescent="0.35">
      <c r="A15" s="15" t="s">
        <v>61</v>
      </c>
      <c r="B15" s="15" t="s">
        <v>66</v>
      </c>
      <c r="C15" s="15" t="s">
        <v>63</v>
      </c>
      <c r="D15" s="15" t="s">
        <v>46</v>
      </c>
      <c r="E15" s="15" t="s">
        <v>64</v>
      </c>
      <c r="F15" s="15" t="s">
        <v>48</v>
      </c>
      <c r="G15" s="15" t="s">
        <v>70</v>
      </c>
      <c r="H15" s="15" t="s">
        <v>46</v>
      </c>
      <c r="I15" s="15"/>
      <c r="J15" s="15"/>
    </row>
    <row r="16" spans="1:16" x14ac:dyDescent="0.35">
      <c r="A16" s="15" t="s">
        <v>61</v>
      </c>
      <c r="B16" s="15" t="s">
        <v>67</v>
      </c>
      <c r="C16" s="15" t="s">
        <v>71</v>
      </c>
      <c r="D16" s="15" t="s">
        <v>46</v>
      </c>
      <c r="E16" s="15" t="s">
        <v>64</v>
      </c>
      <c r="F16" s="15" t="s">
        <v>48</v>
      </c>
      <c r="G16" s="15" t="s">
        <v>68</v>
      </c>
      <c r="H16" s="15" t="s">
        <v>46</v>
      </c>
      <c r="I16" s="15"/>
      <c r="J16" s="15"/>
    </row>
    <row r="17" spans="1:10" x14ac:dyDescent="0.35">
      <c r="A17" s="15" t="s">
        <v>61</v>
      </c>
      <c r="B17" s="15" t="s">
        <v>67</v>
      </c>
      <c r="C17" s="15" t="s">
        <v>72</v>
      </c>
      <c r="D17" s="15" t="s">
        <v>46</v>
      </c>
      <c r="E17" s="15" t="s">
        <v>64</v>
      </c>
      <c r="F17" s="15" t="s">
        <v>48</v>
      </c>
      <c r="G17" s="15" t="s">
        <v>75</v>
      </c>
      <c r="H17" s="15" t="s">
        <v>46</v>
      </c>
      <c r="I17" s="15"/>
      <c r="J17" s="15"/>
    </row>
    <row r="18" spans="1:10" x14ac:dyDescent="0.35">
      <c r="A18" s="15" t="s">
        <v>61</v>
      </c>
      <c r="B18" s="15" t="s">
        <v>73</v>
      </c>
      <c r="C18" s="15" t="s">
        <v>62</v>
      </c>
      <c r="D18" s="15" t="s">
        <v>46</v>
      </c>
      <c r="E18" s="15" t="s">
        <v>64</v>
      </c>
      <c r="F18" s="15" t="s">
        <v>48</v>
      </c>
      <c r="G18" s="15" t="s">
        <v>65</v>
      </c>
      <c r="H18" s="15" t="s">
        <v>46</v>
      </c>
      <c r="I18" s="15"/>
      <c r="J18" s="15"/>
    </row>
    <row r="19" spans="1:10" x14ac:dyDescent="0.35">
      <c r="A19" s="15" t="s">
        <v>61</v>
      </c>
      <c r="B19" s="15" t="s">
        <v>74</v>
      </c>
      <c r="C19" s="15" t="s">
        <v>63</v>
      </c>
      <c r="D19" s="15" t="s">
        <v>46</v>
      </c>
      <c r="E19" s="15" t="s">
        <v>64</v>
      </c>
      <c r="F19" s="15" t="s">
        <v>48</v>
      </c>
      <c r="G19" s="15" t="s">
        <v>70</v>
      </c>
      <c r="H19" s="15" t="s">
        <v>46</v>
      </c>
      <c r="I19" s="15"/>
      <c r="J19" s="15"/>
    </row>
    <row r="20" spans="1:10" x14ac:dyDescent="0.35">
      <c r="A20" s="15" t="s">
        <v>61</v>
      </c>
      <c r="B20" s="15" t="s">
        <v>73</v>
      </c>
      <c r="C20" s="15" t="s">
        <v>71</v>
      </c>
      <c r="D20" s="15" t="s">
        <v>46</v>
      </c>
      <c r="E20" s="15" t="s">
        <v>64</v>
      </c>
      <c r="F20" s="15" t="s">
        <v>48</v>
      </c>
      <c r="G20" s="15" t="s">
        <v>68</v>
      </c>
      <c r="H20" s="15" t="s">
        <v>46</v>
      </c>
      <c r="I20" s="15"/>
      <c r="J20" s="15"/>
    </row>
    <row r="21" spans="1:10" x14ac:dyDescent="0.35">
      <c r="A21" s="15" t="s">
        <v>61</v>
      </c>
      <c r="B21" s="15" t="s">
        <v>73</v>
      </c>
      <c r="C21" s="15" t="s">
        <v>72</v>
      </c>
      <c r="D21" s="15" t="s">
        <v>46</v>
      </c>
      <c r="E21" s="15" t="s">
        <v>64</v>
      </c>
      <c r="F21" s="15" t="s">
        <v>48</v>
      </c>
      <c r="G21" s="15" t="s">
        <v>75</v>
      </c>
      <c r="H21" s="15" t="s">
        <v>46</v>
      </c>
      <c r="I21" s="15"/>
      <c r="J21" s="15"/>
    </row>
    <row r="24" spans="1:10" x14ac:dyDescent="0.35">
      <c r="A24" s="19" t="s">
        <v>77</v>
      </c>
      <c r="B24" s="20"/>
      <c r="C24" s="20"/>
      <c r="D24" s="20"/>
      <c r="E24" s="20"/>
      <c r="F24" s="20"/>
      <c r="G24" s="20"/>
      <c r="H24" s="20"/>
      <c r="I24" s="20"/>
      <c r="J24" s="27"/>
    </row>
    <row r="25" spans="1:10" x14ac:dyDescent="0.35">
      <c r="A25" s="15" t="s">
        <v>37</v>
      </c>
      <c r="B25" s="15" t="s">
        <v>78</v>
      </c>
      <c r="C25" s="15" t="s">
        <v>39</v>
      </c>
      <c r="D25" s="15" t="s">
        <v>40</v>
      </c>
      <c r="E25" s="15" t="s">
        <v>56</v>
      </c>
      <c r="F25" s="15" t="s">
        <v>35</v>
      </c>
      <c r="G25" s="15" t="s">
        <v>36</v>
      </c>
      <c r="H25" s="15" t="s">
        <v>114</v>
      </c>
      <c r="I25" s="15" t="s">
        <v>115</v>
      </c>
    </row>
    <row r="26" spans="1:10" x14ac:dyDescent="0.35">
      <c r="A26" s="15"/>
      <c r="B26" s="15"/>
      <c r="C26" s="15"/>
      <c r="D26" s="15" t="s">
        <v>84</v>
      </c>
      <c r="E26" s="15" t="s">
        <v>84</v>
      </c>
      <c r="F26" s="15" t="s">
        <v>85</v>
      </c>
      <c r="G26" s="15" t="s">
        <v>116</v>
      </c>
      <c r="H26" s="16" t="s">
        <v>117</v>
      </c>
      <c r="I26" s="16" t="s">
        <v>117</v>
      </c>
    </row>
    <row r="27" spans="1:10" x14ac:dyDescent="0.35">
      <c r="A27" s="15" t="s">
        <v>49</v>
      </c>
      <c r="B27" s="15" t="s">
        <v>57</v>
      </c>
      <c r="C27" s="15" t="s">
        <v>46</v>
      </c>
      <c r="D27" s="15" t="s">
        <v>54</v>
      </c>
      <c r="E27" s="15" t="s">
        <v>55</v>
      </c>
      <c r="F27" s="15" t="s">
        <v>76</v>
      </c>
      <c r="G27" s="15" t="s">
        <v>60</v>
      </c>
      <c r="H27" s="15"/>
      <c r="I27" s="15"/>
    </row>
    <row r="28" spans="1:10" x14ac:dyDescent="0.35">
      <c r="A28" s="15" t="s">
        <v>50</v>
      </c>
      <c r="B28" s="15" t="s">
        <v>118</v>
      </c>
      <c r="C28" s="15" t="s">
        <v>46</v>
      </c>
      <c r="D28" s="15" t="s">
        <v>54</v>
      </c>
      <c r="E28" s="15" t="s">
        <v>58</v>
      </c>
      <c r="F28" s="15" t="s">
        <v>76</v>
      </c>
      <c r="G28" s="15" t="s">
        <v>60</v>
      </c>
      <c r="H28" s="15"/>
      <c r="I28" s="15"/>
    </row>
    <row r="29" spans="1:10" x14ac:dyDescent="0.35">
      <c r="A29" s="15" t="s">
        <v>51</v>
      </c>
      <c r="B29" s="15" t="s">
        <v>59</v>
      </c>
      <c r="C29" s="15" t="s">
        <v>46</v>
      </c>
      <c r="D29" s="15" t="s">
        <v>54</v>
      </c>
      <c r="E29" s="15" t="s">
        <v>58</v>
      </c>
      <c r="F29" s="15" t="s">
        <v>76</v>
      </c>
      <c r="G29" s="15" t="s">
        <v>60</v>
      </c>
      <c r="H29" s="15"/>
      <c r="I29" s="15"/>
    </row>
    <row r="30" spans="1:10" x14ac:dyDescent="0.35">
      <c r="A30" s="15" t="s">
        <v>119</v>
      </c>
      <c r="B30" s="15" t="s">
        <v>120</v>
      </c>
      <c r="C30" s="15" t="s">
        <v>46</v>
      </c>
      <c r="D30" s="15" t="s">
        <v>54</v>
      </c>
      <c r="E30" s="15" t="s">
        <v>58</v>
      </c>
      <c r="F30" s="15" t="s">
        <v>76</v>
      </c>
      <c r="G30" s="15" t="s">
        <v>60</v>
      </c>
      <c r="H30" s="15"/>
      <c r="I30" s="15"/>
    </row>
    <row r="31" spans="1:10" x14ac:dyDescent="0.35">
      <c r="A31" s="15" t="s">
        <v>51</v>
      </c>
      <c r="B31" s="15" t="s">
        <v>53</v>
      </c>
      <c r="C31" s="15"/>
      <c r="D31" s="15"/>
      <c r="E31" s="15"/>
      <c r="F31" s="15" t="s">
        <v>46</v>
      </c>
      <c r="G31" s="15"/>
      <c r="H31" s="15"/>
      <c r="I31" s="15"/>
    </row>
    <row r="33" spans="1:10" x14ac:dyDescent="0.35">
      <c r="A33" s="18" t="s">
        <v>79</v>
      </c>
      <c r="B33" s="18"/>
      <c r="C33" s="18"/>
      <c r="D33" s="18"/>
      <c r="E33" s="18"/>
      <c r="F33" s="18"/>
      <c r="G33" s="18"/>
      <c r="H33" s="18"/>
      <c r="I33" s="18"/>
      <c r="J33" s="27"/>
    </row>
    <row r="34" spans="1:10" x14ac:dyDescent="0.35">
      <c r="A34" s="28" t="s">
        <v>37</v>
      </c>
      <c r="B34" s="28" t="s">
        <v>78</v>
      </c>
      <c r="C34" s="28" t="s">
        <v>39</v>
      </c>
      <c r="D34" s="28" t="s">
        <v>40</v>
      </c>
      <c r="E34" s="28" t="s">
        <v>56</v>
      </c>
      <c r="F34" s="28" t="s">
        <v>35</v>
      </c>
      <c r="G34" s="28" t="s">
        <v>36</v>
      </c>
      <c r="H34" s="28" t="s">
        <v>114</v>
      </c>
      <c r="I34" s="28" t="s">
        <v>115</v>
      </c>
    </row>
    <row r="35" spans="1:10" x14ac:dyDescent="0.35">
      <c r="A35" s="15"/>
      <c r="B35" s="15"/>
      <c r="C35" s="15"/>
      <c r="D35" s="15" t="s">
        <v>84</v>
      </c>
      <c r="E35" s="15" t="s">
        <v>84</v>
      </c>
      <c r="F35" s="15" t="s">
        <v>85</v>
      </c>
      <c r="G35" s="15" t="s">
        <v>116</v>
      </c>
      <c r="H35" s="16" t="s">
        <v>117</v>
      </c>
      <c r="I35" s="16" t="s">
        <v>117</v>
      </c>
    </row>
    <row r="36" spans="1:10" x14ac:dyDescent="0.35">
      <c r="A36" s="15" t="s">
        <v>49</v>
      </c>
      <c r="B36" s="15" t="s">
        <v>57</v>
      </c>
      <c r="C36" s="15" t="s">
        <v>46</v>
      </c>
      <c r="D36" s="15" t="s">
        <v>54</v>
      </c>
      <c r="E36" s="15" t="s">
        <v>55</v>
      </c>
      <c r="F36" s="15" t="s">
        <v>76</v>
      </c>
      <c r="G36" s="15" t="s">
        <v>60</v>
      </c>
      <c r="H36" s="15"/>
      <c r="I36" s="15"/>
    </row>
    <row r="37" spans="1:10" x14ac:dyDescent="0.35">
      <c r="A37" s="15" t="s">
        <v>50</v>
      </c>
      <c r="B37" s="15" t="s">
        <v>118</v>
      </c>
      <c r="C37" s="15" t="s">
        <v>46</v>
      </c>
      <c r="D37" s="15" t="s">
        <v>54</v>
      </c>
      <c r="E37" s="15" t="s">
        <v>58</v>
      </c>
      <c r="F37" s="15" t="s">
        <v>76</v>
      </c>
      <c r="G37" s="15" t="s">
        <v>60</v>
      </c>
      <c r="H37" s="15"/>
      <c r="I37" s="15"/>
    </row>
    <row r="38" spans="1:10" x14ac:dyDescent="0.35">
      <c r="A38" s="15" t="s">
        <v>51</v>
      </c>
      <c r="B38" s="15" t="s">
        <v>59</v>
      </c>
      <c r="C38" s="15" t="s">
        <v>46</v>
      </c>
      <c r="D38" s="15" t="s">
        <v>54</v>
      </c>
      <c r="E38" s="15" t="s">
        <v>58</v>
      </c>
      <c r="F38" s="15" t="s">
        <v>76</v>
      </c>
      <c r="G38" s="15" t="s">
        <v>60</v>
      </c>
      <c r="H38" s="15"/>
      <c r="I38" s="15"/>
    </row>
    <row r="39" spans="1:10" x14ac:dyDescent="0.35">
      <c r="A39" s="15" t="s">
        <v>119</v>
      </c>
      <c r="B39" s="15" t="s">
        <v>120</v>
      </c>
      <c r="C39" s="15" t="s">
        <v>46</v>
      </c>
      <c r="D39" s="15" t="s">
        <v>54</v>
      </c>
      <c r="E39" s="15" t="s">
        <v>58</v>
      </c>
      <c r="F39" s="15" t="s">
        <v>76</v>
      </c>
      <c r="G39" s="15" t="s">
        <v>60</v>
      </c>
      <c r="H39" s="15"/>
      <c r="I39" s="15"/>
    </row>
    <row r="40" spans="1:10" x14ac:dyDescent="0.35">
      <c r="A40" s="15" t="s">
        <v>51</v>
      </c>
      <c r="B40" s="15" t="s">
        <v>53</v>
      </c>
      <c r="C40" s="15"/>
      <c r="D40" s="15"/>
      <c r="E40" s="15"/>
      <c r="F40" s="15" t="s">
        <v>46</v>
      </c>
      <c r="G40" s="15"/>
      <c r="H40" s="15"/>
      <c r="I40" s="15"/>
    </row>
  </sheetData>
  <mergeCells count="5">
    <mergeCell ref="A1:J1"/>
    <mergeCell ref="A6:J6"/>
    <mergeCell ref="A11:J11"/>
    <mergeCell ref="A24:I24"/>
    <mergeCell ref="A33:I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59C1-0706-4C78-AD25-16228516E1E2}">
  <dimension ref="A1:O15"/>
  <sheetViews>
    <sheetView workbookViewId="0">
      <selection activeCell="J18" sqref="J18"/>
    </sheetView>
  </sheetViews>
  <sheetFormatPr defaultRowHeight="14.5" x14ac:dyDescent="0.35"/>
  <cols>
    <col min="4" max="4" width="8.90625" bestFit="1" customWidth="1"/>
    <col min="7" max="8" width="8.7265625" style="6"/>
    <col min="11" max="11" width="11" style="6" bestFit="1" customWidth="1"/>
    <col min="12" max="12" width="13.7265625" style="6" bestFit="1" customWidth="1"/>
    <col min="14" max="14" width="10.90625" style="6" bestFit="1" customWidth="1"/>
    <col min="15" max="15" width="8.7265625" style="6"/>
  </cols>
  <sheetData>
    <row r="1" spans="1:15" x14ac:dyDescent="0.35">
      <c r="A1" s="21" t="s">
        <v>95</v>
      </c>
      <c r="B1" s="21"/>
      <c r="C1" s="23"/>
      <c r="D1" s="23"/>
      <c r="E1" s="23"/>
      <c r="F1" s="23"/>
      <c r="G1" s="23"/>
      <c r="H1" s="24"/>
      <c r="J1" s="11" t="s">
        <v>88</v>
      </c>
      <c r="K1" s="11"/>
      <c r="L1" s="11"/>
      <c r="M1" s="11" t="s">
        <v>88</v>
      </c>
      <c r="N1" s="11"/>
      <c r="O1" s="11"/>
    </row>
    <row r="2" spans="1:15" x14ac:dyDescent="0.35">
      <c r="A2" s="25"/>
      <c r="B2" s="25"/>
      <c r="C2" s="12" t="s">
        <v>80</v>
      </c>
      <c r="D2" s="12" t="s">
        <v>81</v>
      </c>
      <c r="E2" s="12" t="s">
        <v>82</v>
      </c>
      <c r="F2" s="12" t="s">
        <v>97</v>
      </c>
      <c r="G2" s="13" t="s">
        <v>87</v>
      </c>
      <c r="H2" s="13" t="s">
        <v>83</v>
      </c>
      <c r="J2" s="12" t="s">
        <v>92</v>
      </c>
      <c r="K2" s="13" t="s">
        <v>93</v>
      </c>
      <c r="L2" s="13" t="s">
        <v>83</v>
      </c>
      <c r="M2" s="12" t="s">
        <v>92</v>
      </c>
      <c r="N2" s="13" t="s">
        <v>93</v>
      </c>
      <c r="O2" s="13" t="s">
        <v>83</v>
      </c>
    </row>
    <row r="3" spans="1:15" s="5" customFormat="1" x14ac:dyDescent="0.35">
      <c r="A3" s="26"/>
      <c r="B3" s="26"/>
      <c r="C3" s="9"/>
      <c r="D3" s="9"/>
      <c r="E3" s="9" t="s">
        <v>84</v>
      </c>
      <c r="F3" s="9" t="s">
        <v>85</v>
      </c>
      <c r="G3" s="10" t="s">
        <v>86</v>
      </c>
      <c r="H3" s="10" t="s">
        <v>86</v>
      </c>
      <c r="J3" s="9"/>
      <c r="K3" s="10" t="s">
        <v>86</v>
      </c>
      <c r="L3" s="10"/>
      <c r="M3" s="9"/>
      <c r="N3" s="10" t="s">
        <v>86</v>
      </c>
      <c r="O3" s="8"/>
    </row>
    <row r="4" spans="1:15" x14ac:dyDescent="0.35">
      <c r="A4" s="25"/>
      <c r="B4" s="25"/>
      <c r="C4" s="7" t="s">
        <v>89</v>
      </c>
      <c r="D4" s="7" t="s">
        <v>90</v>
      </c>
      <c r="E4" s="7">
        <v>10</v>
      </c>
      <c r="F4" s="7">
        <f>20.7*10</f>
        <v>207</v>
      </c>
      <c r="G4" s="8">
        <v>0.75</v>
      </c>
      <c r="H4" s="8">
        <f>F4*G4</f>
        <v>155.25</v>
      </c>
      <c r="J4" s="7">
        <v>10</v>
      </c>
      <c r="K4" s="8">
        <v>70</v>
      </c>
      <c r="L4" s="8">
        <f>J4*K4</f>
        <v>700</v>
      </c>
      <c r="M4" s="7">
        <v>10</v>
      </c>
      <c r="N4" s="8">
        <v>70</v>
      </c>
      <c r="O4" s="8">
        <f>M4*N4</f>
        <v>700</v>
      </c>
    </row>
    <row r="5" spans="1:15" x14ac:dyDescent="0.35">
      <c r="A5" s="25"/>
      <c r="B5" s="25"/>
      <c r="C5" s="7" t="s">
        <v>96</v>
      </c>
      <c r="D5" s="7" t="s">
        <v>90</v>
      </c>
      <c r="E5" s="7">
        <v>10</v>
      </c>
      <c r="F5" s="7">
        <v>12.25</v>
      </c>
      <c r="G5" s="8">
        <v>0.75</v>
      </c>
      <c r="H5" s="8">
        <f>F5*G5</f>
        <v>9.1875</v>
      </c>
    </row>
    <row r="6" spans="1:15" x14ac:dyDescent="0.35">
      <c r="C6" t="s">
        <v>91</v>
      </c>
      <c r="H6" s="14">
        <f>SUM(H4:H5)</f>
        <v>164.4375</v>
      </c>
      <c r="L6" s="14">
        <f>SUM(L4:L5)</f>
        <v>700</v>
      </c>
      <c r="O6" s="14">
        <f>SUM(O4:O5)</f>
        <v>700</v>
      </c>
    </row>
    <row r="7" spans="1:15" x14ac:dyDescent="0.35">
      <c r="C7" t="s">
        <v>94</v>
      </c>
      <c r="D7" s="14">
        <f>H6+L6+O6</f>
        <v>1564.4375</v>
      </c>
    </row>
    <row r="9" spans="1:15" x14ac:dyDescent="0.35">
      <c r="A9" s="21" t="s">
        <v>121</v>
      </c>
      <c r="B9" s="21"/>
      <c r="C9" s="21"/>
      <c r="D9" s="21"/>
      <c r="E9" s="21"/>
      <c r="F9" s="21"/>
      <c r="G9" s="21"/>
      <c r="H9" s="22"/>
      <c r="J9" s="11" t="s">
        <v>88</v>
      </c>
      <c r="K9" s="11"/>
      <c r="L9" s="11"/>
      <c r="M9" s="11" t="s">
        <v>88</v>
      </c>
      <c r="N9" s="11"/>
      <c r="O9" s="11"/>
    </row>
    <row r="10" spans="1:15" x14ac:dyDescent="0.35">
      <c r="A10" s="12" t="s">
        <v>34</v>
      </c>
      <c r="B10" s="12" t="s">
        <v>122</v>
      </c>
      <c r="C10" s="12" t="s">
        <v>123</v>
      </c>
      <c r="D10" s="12" t="s">
        <v>81</v>
      </c>
      <c r="E10" s="12" t="s">
        <v>82</v>
      </c>
      <c r="F10" s="12" t="s">
        <v>97</v>
      </c>
      <c r="G10" s="13" t="s">
        <v>87</v>
      </c>
      <c r="H10" s="13" t="s">
        <v>83</v>
      </c>
      <c r="J10" s="12" t="s">
        <v>92</v>
      </c>
      <c r="K10" s="13" t="s">
        <v>93</v>
      </c>
      <c r="L10" s="13" t="s">
        <v>83</v>
      </c>
      <c r="M10" s="12" t="s">
        <v>92</v>
      </c>
      <c r="N10" s="13" t="s">
        <v>93</v>
      </c>
      <c r="O10" s="13" t="s">
        <v>83</v>
      </c>
    </row>
    <row r="11" spans="1:15" x14ac:dyDescent="0.35">
      <c r="A11" s="7"/>
      <c r="B11" s="7" t="s">
        <v>124</v>
      </c>
      <c r="C11" s="9" t="s">
        <v>124</v>
      </c>
      <c r="D11" s="9"/>
      <c r="E11" s="9" t="s">
        <v>84</v>
      </c>
      <c r="F11" s="9" t="s">
        <v>85</v>
      </c>
      <c r="G11" s="10" t="s">
        <v>86</v>
      </c>
      <c r="H11" s="10" t="s">
        <v>86</v>
      </c>
      <c r="I11" s="5"/>
      <c r="J11" s="9"/>
      <c r="K11" s="10" t="s">
        <v>86</v>
      </c>
      <c r="L11" s="10"/>
      <c r="M11" s="9"/>
      <c r="N11" s="10" t="s">
        <v>86</v>
      </c>
      <c r="O11" s="8"/>
    </row>
    <row r="12" spans="1:15" x14ac:dyDescent="0.35">
      <c r="A12" s="7" t="s">
        <v>49</v>
      </c>
      <c r="B12" s="7">
        <v>0.1046</v>
      </c>
      <c r="C12" s="7">
        <v>18</v>
      </c>
      <c r="D12" s="7" t="s">
        <v>90</v>
      </c>
      <c r="E12" s="7">
        <v>4</v>
      </c>
      <c r="F12" s="7">
        <f>B12*C12*(E12*12)*0.283</f>
        <v>25.575955199999999</v>
      </c>
      <c r="G12" s="8">
        <v>0.75</v>
      </c>
      <c r="H12" s="8">
        <f>F12*G12</f>
        <v>19.1819664</v>
      </c>
      <c r="J12" s="7">
        <v>10</v>
      </c>
      <c r="K12" s="8">
        <v>70</v>
      </c>
      <c r="L12" s="8">
        <f>J12*K12</f>
        <v>700</v>
      </c>
      <c r="M12" s="7">
        <v>10</v>
      </c>
      <c r="N12" s="8">
        <v>70</v>
      </c>
      <c r="O12" s="8">
        <f>M12*N12</f>
        <v>700</v>
      </c>
    </row>
    <row r="13" spans="1:15" x14ac:dyDescent="0.35">
      <c r="A13" s="7" t="s">
        <v>50</v>
      </c>
      <c r="B13" s="7"/>
      <c r="C13" s="7"/>
      <c r="D13" s="7"/>
      <c r="E13" s="7"/>
      <c r="F13" s="7"/>
      <c r="G13" s="8"/>
      <c r="H13" s="8"/>
    </row>
    <row r="14" spans="1:15" x14ac:dyDescent="0.35">
      <c r="C14" t="s">
        <v>91</v>
      </c>
      <c r="H14" s="14">
        <f>SUM(H12:H13)</f>
        <v>19.1819664</v>
      </c>
      <c r="L14" s="14">
        <f>SUM(L12:L13)</f>
        <v>700</v>
      </c>
      <c r="O14" s="14">
        <f>SUM(O12:O13)</f>
        <v>700</v>
      </c>
    </row>
    <row r="15" spans="1:15" x14ac:dyDescent="0.35">
      <c r="C15" t="s">
        <v>94</v>
      </c>
      <c r="D15" s="14">
        <f>H14+L14+O14</f>
        <v>1419.1819664</v>
      </c>
    </row>
  </sheetData>
  <mergeCells count="6">
    <mergeCell ref="J1:L1"/>
    <mergeCell ref="M1:O1"/>
    <mergeCell ref="J9:L9"/>
    <mergeCell ref="M9:O9"/>
    <mergeCell ref="A9:H9"/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C8F8-9DA9-4A62-A186-CEA5B79CAFD8}">
  <dimension ref="A1:E11"/>
  <sheetViews>
    <sheetView workbookViewId="0">
      <selection activeCell="G14" sqref="G14"/>
    </sheetView>
  </sheetViews>
  <sheetFormatPr defaultRowHeight="14.5" x14ac:dyDescent="0.35"/>
  <cols>
    <col min="2" max="2" width="9.6328125" customWidth="1"/>
    <col min="3" max="3" width="7.1796875" bestFit="1" customWidth="1"/>
    <col min="4" max="4" width="8.81640625" bestFit="1" customWidth="1"/>
    <col min="5" max="5" width="12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0.17929999999999999</v>
      </c>
      <c r="C2" s="2">
        <v>7.32</v>
      </c>
      <c r="D2" s="2">
        <v>7.49</v>
      </c>
      <c r="E2" s="2" t="s">
        <v>6</v>
      </c>
    </row>
    <row r="3" spans="1:5" x14ac:dyDescent="0.35">
      <c r="A3" s="2" t="s">
        <v>7</v>
      </c>
      <c r="B3" s="2">
        <v>0.13450000000000001</v>
      </c>
      <c r="C3" s="2">
        <v>5.49</v>
      </c>
      <c r="D3" s="2">
        <v>5.62</v>
      </c>
      <c r="E3" s="2" t="s">
        <v>8</v>
      </c>
    </row>
    <row r="4" spans="1:5" x14ac:dyDescent="0.35">
      <c r="A4" s="2" t="s">
        <v>9</v>
      </c>
      <c r="B4" s="2">
        <v>0.1196</v>
      </c>
      <c r="C4" s="2">
        <v>4.88</v>
      </c>
      <c r="D4" s="2">
        <v>5</v>
      </c>
      <c r="E4" s="2" t="s">
        <v>10</v>
      </c>
    </row>
    <row r="5" spans="1:5" x14ac:dyDescent="0.35">
      <c r="A5" s="2" t="s">
        <v>11</v>
      </c>
      <c r="B5" s="2">
        <v>0.1046</v>
      </c>
      <c r="C5" s="2">
        <v>4.2699999999999996</v>
      </c>
      <c r="D5" s="2">
        <v>4.38</v>
      </c>
      <c r="E5" s="2" t="s">
        <v>12</v>
      </c>
    </row>
    <row r="6" spans="1:5" x14ac:dyDescent="0.35">
      <c r="A6" s="2" t="s">
        <v>13</v>
      </c>
      <c r="B6" s="2">
        <v>7.4700000000000003E-2</v>
      </c>
      <c r="C6" s="2">
        <v>3.05</v>
      </c>
      <c r="D6" s="2">
        <v>3.13</v>
      </c>
      <c r="E6" s="2" t="s">
        <v>14</v>
      </c>
    </row>
    <row r="7" spans="1:5" x14ac:dyDescent="0.35">
      <c r="A7" s="2" t="s">
        <v>15</v>
      </c>
      <c r="B7" s="2">
        <v>5.9799999999999999E-2</v>
      </c>
      <c r="C7" s="2">
        <v>2.44</v>
      </c>
      <c r="D7" s="2">
        <v>2.5</v>
      </c>
      <c r="E7" s="2" t="s">
        <v>16</v>
      </c>
    </row>
    <row r="8" spans="1:5" x14ac:dyDescent="0.35">
      <c r="A8" s="2" t="s">
        <v>17</v>
      </c>
      <c r="B8" s="2">
        <v>4.7800000000000002E-2</v>
      </c>
      <c r="C8" s="2">
        <v>1.95</v>
      </c>
      <c r="D8" s="2">
        <v>2</v>
      </c>
      <c r="E8" s="2" t="s">
        <v>18</v>
      </c>
    </row>
    <row r="9" spans="1:5" x14ac:dyDescent="0.35">
      <c r="A9" s="2" t="s">
        <v>19</v>
      </c>
      <c r="B9" s="2">
        <v>3.5900000000000001E-2</v>
      </c>
      <c r="C9" s="2">
        <v>1.46</v>
      </c>
      <c r="D9" s="2">
        <v>1.5</v>
      </c>
      <c r="E9" s="2" t="s">
        <v>20</v>
      </c>
    </row>
    <row r="10" spans="1:5" x14ac:dyDescent="0.35">
      <c r="A10" s="2" t="s">
        <v>21</v>
      </c>
      <c r="B10" s="2">
        <v>2.9899999999999999E-2</v>
      </c>
      <c r="C10" s="2">
        <v>1.22</v>
      </c>
      <c r="D10" s="2">
        <v>1.25</v>
      </c>
      <c r="E10" s="2" t="s">
        <v>22</v>
      </c>
    </row>
    <row r="11" spans="1:5" x14ac:dyDescent="0.35">
      <c r="A11" s="2" t="s">
        <v>23</v>
      </c>
      <c r="B11" s="2">
        <v>2.3900000000000001E-2</v>
      </c>
      <c r="C11" s="2">
        <v>0.97</v>
      </c>
      <c r="D11" s="2">
        <v>1</v>
      </c>
      <c r="E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Cost</vt:lpstr>
      <vt:lpstr>Stair data</vt:lpstr>
      <vt:lpstr>Summary</vt:lpstr>
      <vt:lpstr>Gage pl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Caldimengg</dc:creator>
  <cp:lastModifiedBy>Bala Caldimengg</cp:lastModifiedBy>
  <dcterms:created xsi:type="dcterms:W3CDTF">2026-05-02T11:29:13Z</dcterms:created>
  <dcterms:modified xsi:type="dcterms:W3CDTF">2026-05-09T01:04:26Z</dcterms:modified>
</cp:coreProperties>
</file>